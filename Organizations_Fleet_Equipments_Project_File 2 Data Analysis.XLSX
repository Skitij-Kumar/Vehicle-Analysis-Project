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defaultThemeVersion="166925"/>
  <mc:AlternateContent xmlns:mc="http://schemas.openxmlformats.org/markup-compatibility/2006">
    <mc:Choice Requires="x15">
      <x15ac:absPath xmlns:x15ac="http://schemas.microsoft.com/office/spreadsheetml/2010/11/ac" url="D:\documents\Data Analyst Courses\IBM Data Analysis Course\All the main projects you made at the end of all the courses\Course-2, Excel for basic Data Analysis Projects\End Finished Assignment\"/>
    </mc:Choice>
  </mc:AlternateContent>
  <xr:revisionPtr revIDLastSave="0" documentId="13_ncr:1_{4F4CE537-B756-45F5-BBD0-3DD25F63E86D}" xr6:coauthVersionLast="47" xr6:coauthVersionMax="47" xr10:uidLastSave="{00000000-0000-0000-0000-000000000000}"/>
  <bookViews>
    <workbookView xWindow="-110" yWindow="-110" windowWidth="19420" windowHeight="10300" xr2:uid="{00000000-000D-0000-FFFF-FFFF00000000}"/>
  </bookViews>
  <sheets>
    <sheet name="Montgomery_Fleet_Equipment_Inve" sheetId="1" r:id="rId1"/>
    <sheet name="Vehicle used per department" sheetId="2" r:id="rId2"/>
    <sheet name="Type of vehicle per department1" sheetId="3" r:id="rId3"/>
    <sheet name="Type of vehicle per department2" sheetId="4" r:id="rId4"/>
    <sheet name="Types of Vehicle Count" sheetId="8" r:id="rId5"/>
    <sheet name="Dashboard" sheetId="9" r:id="rId6"/>
  </sheets>
  <definedNames>
    <definedName name="_xlnm._FilterDatabase" localSheetId="0" hidden="1">Montgomery_Fleet_Equipment_Inve!$A$1:$C$50</definedName>
    <definedName name="Slicer_Department">#N/A</definedName>
    <definedName name="Slicer_Equipment_Clas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C52" i="1" l="1"/>
  <c r="C53" i="1"/>
  <c r="C54" i="1"/>
  <c r="C55" i="1"/>
  <c r="C56" i="1"/>
</calcChain>
</file>

<file path=xl/sharedStrings.xml><?xml version="1.0" encoding="utf-8"?>
<sst xmlns="http://schemas.openxmlformats.org/spreadsheetml/2006/main" count="173" uniqueCount="37">
  <si>
    <t>Department</t>
  </si>
  <si>
    <t>Equipment Class</t>
  </si>
  <si>
    <t>Equipment Count</t>
  </si>
  <si>
    <t>Public Safety SUV</t>
  </si>
  <si>
    <t>Sedan</t>
  </si>
  <si>
    <t>Housing and Community Affairs</t>
  </si>
  <si>
    <t>Pick Up Trucks</t>
  </si>
  <si>
    <t>SUV</t>
  </si>
  <si>
    <t>Human Rights</t>
  </si>
  <si>
    <t>Libraries</t>
  </si>
  <si>
    <t>Van</t>
  </si>
  <si>
    <t>Medium Duty</t>
  </si>
  <si>
    <t>Liquor Control</t>
  </si>
  <si>
    <t>Heavy Duty</t>
  </si>
  <si>
    <t>Office Of Homeland Security</t>
  </si>
  <si>
    <t>Permitting Services</t>
  </si>
  <si>
    <t>CUV</t>
  </si>
  <si>
    <t>Public Information Office</t>
  </si>
  <si>
    <t>Recreation</t>
  </si>
  <si>
    <t>Sheriffs Office</t>
  </si>
  <si>
    <t>Public Safety Van</t>
  </si>
  <si>
    <t>Public Safety CUV</t>
  </si>
  <si>
    <t>Public Safety Sedan</t>
  </si>
  <si>
    <t>Public Safety Pick Up Trucks</t>
  </si>
  <si>
    <t>State Attorneys Office</t>
  </si>
  <si>
    <t>Technology Services</t>
  </si>
  <si>
    <t>Transportation</t>
  </si>
  <si>
    <t>Transit Bus</t>
  </si>
  <si>
    <t>Off Road Vehicle Equipment</t>
  </si>
  <si>
    <t>AVERAGE</t>
  </si>
  <si>
    <t>Row Labels</t>
  </si>
  <si>
    <t>Grand Total</t>
  </si>
  <si>
    <t>Sum of Equipment Count</t>
  </si>
  <si>
    <t>Total Count</t>
  </si>
  <si>
    <t>SUM (Total vehicles used)</t>
  </si>
  <si>
    <t>MIN (Minimum vehicle used in a department)</t>
  </si>
  <si>
    <t>MAX (Maximum vehicle used in a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</si>
</sst>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[Organizations_Fleet_Equipments_Project_File 2 Data Analysis.XLSX]Vehicle used per department!PivotTable1</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Vehicles</a:t>
            </a:r>
            <a:r>
              <a:rPr lang="en-US" baseline="0"/>
              <a:t> used per department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'Vehicle used per department'!$B$3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'Vehicle used per department'!$A$4:$A$16</c:f>
              <c:strCache>
                <c:ptCount val="12"/>
                <c:pt idx="0">
                  <c:v>Transportation</c:v>
                </c:pt>
                <c:pt idx="1">
                  <c:v>Technology Services</c:v>
                </c:pt>
                <c:pt idx="2">
                  <c:v>State Attorneys Office</c:v>
                </c:pt>
                <c:pt idx="3">
                  <c:v>Sheriffs Office</c:v>
                </c:pt>
                <c:pt idx="4">
                  <c:v>Recreation</c:v>
                </c:pt>
                <c:pt idx="5">
                  <c:v>Public Information Office</c:v>
                </c:pt>
                <c:pt idx="6">
                  <c:v>Permitting Services</c:v>
                </c:pt>
                <c:pt idx="7">
                  <c:v>Office Of Homeland Security</c:v>
                </c:pt>
                <c:pt idx="8">
                  <c:v>Liquor Control</c:v>
                </c:pt>
                <c:pt idx="9">
                  <c:v>Libraries</c:v>
                </c:pt>
                <c:pt idx="10">
                  <c:v>Human Rights</c:v>
                </c:pt>
                <c:pt idx="11">
                  <c:v>Housing and Community Affairs</c:v>
                </c:pt>
              </c:strCache>
            </c:strRef>
          </c:cat>
          <c:val>
            <c:numRef>
              <c:f>'Vehicle used per department'!$B$4:$B$16</c:f>
              <c:numCache>
                <c:formatCode>General</c:formatCode>
                <c:ptCount val="12"/>
                <c:pt idx="0">
                  <c:v>1221</c:v>
                </c:pt>
                <c:pt idx="1">
                  <c:v>16</c:v>
                </c:pt>
                <c:pt idx="2">
                  <c:v>5</c:v>
                </c:pt>
                <c:pt idx="3">
                  <c:v>85</c:v>
                </c:pt>
                <c:pt idx="4">
                  <c:v>35</c:v>
                </c:pt>
                <c:pt idx="5">
                  <c:v>1</c:v>
                </c:pt>
                <c:pt idx="6">
                  <c:v>109</c:v>
                </c:pt>
                <c:pt idx="7">
                  <c:v>1</c:v>
                </c:pt>
                <c:pt idx="8">
                  <c:v>56</c:v>
                </c:pt>
                <c:pt idx="9">
                  <c:v>6</c:v>
                </c:pt>
                <c:pt idx="10">
                  <c:v>2</c:v>
                </c:pt>
                <c:pt idx="11">
                  <c:v>45</c:v>
                </c:pt>
              </c:numCache>
            </c:numRef>
          </c:val>
          <c:extLst>
            <c:ext xmlns:c16="http://schemas.microsoft.com/office/drawing/2014/chart" uri="{C3380CC4-5D6E-409C-BE32-E72D297353CC}">
              <c16:uniqueId val="{00000000-4222-4E4F-9416-741A7A0085B7}"/>
            </c:ext>
          </c:extLst>
        </c:ser>
        <c:dLbls>
          <c:dLblPos val="inEnd"/>
          <c:showLegendKey val="0"/>
          <c:showVal val="1"/>
          <c:showCatName val="0"/>
          <c:showSerName val="0"/>
          <c:showPercent val="0"/>
          <c:showBubbleSize val="0"/>
        </c:dLbls>
        <c:gapWidth val="65"/>
        <c:axId val="665867200"/>
        <c:axId val="665852800"/>
      </c:barChart>
      <c:catAx>
        <c:axId val="66586720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Departments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65852800"/>
        <c:crosses val="autoZero"/>
        <c:auto val="1"/>
        <c:lblAlgn val="ctr"/>
        <c:lblOffset val="100"/>
        <c:noMultiLvlLbl val="0"/>
      </c:catAx>
      <c:valAx>
        <c:axId val="6658528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Total  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6658672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[Organizations_Fleet_Equipments_Project_File 2 Data Analysis.XLSX]Types of Vehicle Count!PivotTable3</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baseline="0"/>
              <a:t>Vehicle count by its type</a:t>
            </a:r>
            <a:endParaRPr lang="en-IN"/>
          </a:p>
        </c:rich>
      </c:tx>
      <c:layout>
        <c:manualLayout>
          <c:xMode val="edge"/>
          <c:yMode val="edge"/>
          <c:x val="0.39560285888240726"/>
          <c:y val="5.904333441018477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'Types of Vehicle Count'!$B$3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'Types of Vehicle Count'!$A$4:$A$18</c:f>
              <c:strCache>
                <c:ptCount val="14"/>
                <c:pt idx="0">
                  <c:v>CUV</c:v>
                </c:pt>
                <c:pt idx="1">
                  <c:v>Heavy Duty</c:v>
                </c:pt>
                <c:pt idx="2">
                  <c:v>Medium Duty</c:v>
                </c:pt>
                <c:pt idx="3">
                  <c:v>Off Road Vehicle Equipment</c:v>
                </c:pt>
                <c:pt idx="4">
                  <c:v>Pick Up Trucks</c:v>
                </c:pt>
                <c:pt idx="5">
                  <c:v>Public Safety CUV</c:v>
                </c:pt>
                <c:pt idx="6">
                  <c:v>Public Safety Pick Up Trucks</c:v>
                </c:pt>
                <c:pt idx="7">
                  <c:v>Public Safety Sedan</c:v>
                </c:pt>
                <c:pt idx="8">
                  <c:v>Public Safety SUV</c:v>
                </c:pt>
                <c:pt idx="9">
                  <c:v>Public Safety Van</c:v>
                </c:pt>
                <c:pt idx="10">
                  <c:v>Sedan</c:v>
                </c:pt>
                <c:pt idx="11">
                  <c:v>SUV</c:v>
                </c:pt>
                <c:pt idx="12">
                  <c:v>Transit Bus</c:v>
                </c:pt>
                <c:pt idx="13">
                  <c:v>Van</c:v>
                </c:pt>
              </c:strCache>
            </c:strRef>
          </c:cat>
          <c:val>
            <c:numRef>
              <c:f>'Types of Vehicle Count'!$B$4:$B$18</c:f>
              <c:numCache>
                <c:formatCode>General</c:formatCode>
                <c:ptCount val="14"/>
                <c:pt idx="0">
                  <c:v>15</c:v>
                </c:pt>
                <c:pt idx="1">
                  <c:v>290</c:v>
                </c:pt>
                <c:pt idx="2">
                  <c:v>100</c:v>
                </c:pt>
                <c:pt idx="3">
                  <c:v>283</c:v>
                </c:pt>
                <c:pt idx="4">
                  <c:v>150</c:v>
                </c:pt>
                <c:pt idx="5">
                  <c:v>4</c:v>
                </c:pt>
                <c:pt idx="6">
                  <c:v>1</c:v>
                </c:pt>
                <c:pt idx="7">
                  <c:v>47</c:v>
                </c:pt>
                <c:pt idx="8">
                  <c:v>20</c:v>
                </c:pt>
                <c:pt idx="9">
                  <c:v>8</c:v>
                </c:pt>
                <c:pt idx="10">
                  <c:v>130</c:v>
                </c:pt>
                <c:pt idx="11">
                  <c:v>90</c:v>
                </c:pt>
                <c:pt idx="12">
                  <c:v>379</c:v>
                </c:pt>
                <c:pt idx="13">
                  <c:v>65</c:v>
                </c:pt>
              </c:numCache>
            </c:numRef>
          </c:val>
          <c:extLst>
            <c:ext xmlns:c16="http://schemas.microsoft.com/office/drawing/2014/chart" uri="{C3380CC4-5D6E-409C-BE32-E72D297353CC}">
              <c16:uniqueId val="{00000000-CA93-4746-9F9C-FD136D490D62}"/>
            </c:ext>
          </c:extLst>
        </c:ser>
        <c:dLbls>
          <c:dLblPos val="ctr"/>
          <c:showLegendKey val="0"/>
          <c:showVal val="1"/>
          <c:showCatName val="0"/>
          <c:showSerName val="0"/>
          <c:showPercent val="0"/>
          <c:showBubbleSize val="0"/>
        </c:dLbls>
        <c:gapWidth val="150"/>
        <c:overlap val="100"/>
        <c:axId val="2066009919"/>
        <c:axId val="2066010399"/>
      </c:barChart>
      <c:catAx>
        <c:axId val="206600991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Vehicle</a:t>
                </a:r>
                <a:r>
                  <a:rPr lang="en-IN" baseline="0"/>
                  <a:t> Type</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66010399"/>
        <c:crosses val="autoZero"/>
        <c:auto val="1"/>
        <c:lblAlgn val="ctr"/>
        <c:lblOffset val="100"/>
        <c:noMultiLvlLbl val="0"/>
      </c:catAx>
      <c:valAx>
        <c:axId val="2066010399"/>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Total</a:t>
                </a:r>
                <a:r>
                  <a:rPr lang="en-IN" baseline="0"/>
                  <a:t> Count</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206600991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77228</xdr:colOff>
      <xdr:row>0</xdr:row>
      <xdr:rowOff>139699</xdr:rowOff>
    </xdr:from>
    <xdr:to>
      <xdr:col>26</xdr:col>
      <xdr:colOff>419099</xdr:colOff>
      <xdr:row>23</xdr:row>
      <xdr:rowOff>180202</xdr:rowOff>
    </xdr:to>
    <xdr:sp macro="" textlink="">
      <xdr:nvSpPr>
        <xdr:cNvPr id="7" name="Rectangle 6">
          <a:extLst>
            <a:ext uri="{FF2B5EF4-FFF2-40B4-BE49-F238E27FC236}">
              <a16:creationId xmlns:a16="http://schemas.microsoft.com/office/drawing/2014/main" id="{EF3AB9F7-45E4-BAF5-28D3-079CF4C2FB9D}"/>
            </a:ext>
          </a:extLst>
        </xdr:cNvPr>
        <xdr:cNvSpPr/>
      </xdr:nvSpPr>
      <xdr:spPr>
        <a:xfrm>
          <a:off x="77228" y="139699"/>
          <a:ext cx="16191471" cy="4422003"/>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15</xdr:col>
      <xdr:colOff>38100</xdr:colOff>
      <xdr:row>6</xdr:row>
      <xdr:rowOff>0</xdr:rowOff>
    </xdr:from>
    <xdr:to>
      <xdr:col>26</xdr:col>
      <xdr:colOff>330200</xdr:colOff>
      <xdr:row>23</xdr:row>
      <xdr:rowOff>111554</xdr:rowOff>
    </xdr:to>
    <xdr:graphicFrame macro="">
      <xdr:nvGraphicFramePr>
        <xdr:cNvPr id="8" name="Chart 7">
          <a:extLst>
            <a:ext uri="{FF2B5EF4-FFF2-40B4-BE49-F238E27FC236}">
              <a16:creationId xmlns:a16="http://schemas.microsoft.com/office/drawing/2014/main" id="{12971032-7339-4029-B58A-EFA87971F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347361</xdr:colOff>
      <xdr:row>0</xdr:row>
      <xdr:rowOff>179516</xdr:rowOff>
    </xdr:from>
    <xdr:to>
      <xdr:col>26</xdr:col>
      <xdr:colOff>381000</xdr:colOff>
      <xdr:row>5</xdr:row>
      <xdr:rowOff>152400</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0C5CE41A-258E-49DF-AF02-D91DF256CA3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161647" y="179516"/>
              <a:ext cx="13943163" cy="8800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139700</xdr:colOff>
      <xdr:row>0</xdr:row>
      <xdr:rowOff>139700</xdr:rowOff>
    </xdr:from>
    <xdr:to>
      <xdr:col>3</xdr:col>
      <xdr:colOff>311150</xdr:colOff>
      <xdr:row>23</xdr:row>
      <xdr:rowOff>127000</xdr:rowOff>
    </xdr:to>
    <mc:AlternateContent xmlns:mc="http://schemas.openxmlformats.org/markup-compatibility/2006" xmlns:a14="http://schemas.microsoft.com/office/drawing/2010/main">
      <mc:Choice Requires="a14">
        <xdr:graphicFrame macro="">
          <xdr:nvGraphicFramePr>
            <xdr:cNvPr id="10" name="Equipment Class">
              <a:extLst>
                <a:ext uri="{FF2B5EF4-FFF2-40B4-BE49-F238E27FC236}">
                  <a16:creationId xmlns:a16="http://schemas.microsoft.com/office/drawing/2014/main" id="{498A502B-BAE4-4C13-8D39-2768456C458B}"/>
                </a:ext>
              </a:extLst>
            </xdr:cNvPr>
            <xdr:cNvGraphicFramePr/>
          </xdr:nvGraphicFramePr>
          <xdr:xfrm>
            <a:off x="0" y="0"/>
            <a:ext cx="0" cy="0"/>
          </xdr:xfrm>
          <a:graphic>
            <a:graphicData uri="http://schemas.microsoft.com/office/drawing/2010/slicer">
              <sle:slicer xmlns:sle="http://schemas.microsoft.com/office/drawing/2010/slicer" name="Equipment Class"/>
            </a:graphicData>
          </a:graphic>
        </xdr:graphicFrame>
      </mc:Choice>
      <mc:Fallback xmlns="">
        <xdr:sp macro="" textlink="">
          <xdr:nvSpPr>
            <xdr:cNvPr id="0" name=""/>
            <xdr:cNvSpPr>
              <a:spLocks noTextEdit="1"/>
            </xdr:cNvSpPr>
          </xdr:nvSpPr>
          <xdr:spPr>
            <a:xfrm>
              <a:off x="139700" y="139700"/>
              <a:ext cx="1985736" cy="41601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351824</xdr:colOff>
      <xdr:row>6</xdr:row>
      <xdr:rowOff>25400</xdr:rowOff>
    </xdr:from>
    <xdr:to>
      <xdr:col>14</xdr:col>
      <xdr:colOff>571499</xdr:colOff>
      <xdr:row>23</xdr:row>
      <xdr:rowOff>120135</xdr:rowOff>
    </xdr:to>
    <xdr:graphicFrame macro="">
      <xdr:nvGraphicFramePr>
        <xdr:cNvPr id="11" name="Chart 10">
          <a:extLst>
            <a:ext uri="{FF2B5EF4-FFF2-40B4-BE49-F238E27FC236}">
              <a16:creationId xmlns:a16="http://schemas.microsoft.com/office/drawing/2014/main" id="{4B542E5D-13EC-4345-BB1F-59A513782C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shitij kumar" refreshedDate="45397.875011226854" createdVersion="8" refreshedVersion="8" minRefreshableVersion="3" recordCount="49" xr:uid="{47B23929-5358-466A-B64F-556C390C4948}">
  <cacheSource type="worksheet">
    <worksheetSource name="Table1"/>
  </cacheSource>
  <cacheFields count="3">
    <cacheField name="Department" numFmtId="0">
      <sharedItems count="12">
        <s v="Housing and Community Affairs"/>
        <s v="Human Rights"/>
        <s v="Libraries"/>
        <s v="Liquor Control"/>
        <s v="Office Of Homeland Security"/>
        <s v="Permitting Services"/>
        <s v="Public Information Office"/>
        <s v="Recreation"/>
        <s v="Sheriffs Office"/>
        <s v="State Attorneys Office"/>
        <s v="Technology Services"/>
        <s v="Transportation"/>
      </sharedItems>
    </cacheField>
    <cacheField name="Equipment Class" numFmtId="0">
      <sharedItems count="14">
        <s v="Pick Up Trucks"/>
        <s v="SUV"/>
        <s v="Sedan"/>
        <s v="Van"/>
        <s v="Medium Duty"/>
        <s v="Heavy Duty"/>
        <s v="CUV"/>
        <s v="Off Road Vehicle Equipment"/>
        <s v="Public Safety SUV"/>
        <s v="Public Safety Van"/>
        <s v="Public Safety CUV"/>
        <s v="Public Safety Sedan"/>
        <s v="Public Safety Pick Up Trucks"/>
        <s v="Transit Bus"/>
      </sharedItems>
    </cacheField>
    <cacheField name="Equipment Count" numFmtId="0">
      <sharedItems containsSemiMixedTypes="0" containsString="0" containsNumber="1" containsInteger="1" minValue="1" maxValue="379"/>
    </cacheField>
  </cacheFields>
  <extLst>
    <ext xmlns:x14="http://schemas.microsoft.com/office/spreadsheetml/2009/9/main" uri="{725AE2AE-9491-48be-B2B4-4EB974FC3084}">
      <x14:pivotCacheDefinition pivotCacheId="13257585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n v="21"/>
  </r>
  <r>
    <x v="0"/>
    <x v="1"/>
    <n v="1"/>
  </r>
  <r>
    <x v="0"/>
    <x v="2"/>
    <n v="23"/>
  </r>
  <r>
    <x v="1"/>
    <x v="2"/>
    <n v="2"/>
  </r>
  <r>
    <x v="2"/>
    <x v="0"/>
    <n v="3"/>
  </r>
  <r>
    <x v="2"/>
    <x v="3"/>
    <n v="2"/>
  </r>
  <r>
    <x v="2"/>
    <x v="4"/>
    <n v="1"/>
  </r>
  <r>
    <x v="3"/>
    <x v="3"/>
    <n v="2"/>
  </r>
  <r>
    <x v="3"/>
    <x v="5"/>
    <n v="42"/>
  </r>
  <r>
    <x v="3"/>
    <x v="1"/>
    <n v="1"/>
  </r>
  <r>
    <x v="3"/>
    <x v="2"/>
    <n v="11"/>
  </r>
  <r>
    <x v="4"/>
    <x v="1"/>
    <n v="1"/>
  </r>
  <r>
    <x v="5"/>
    <x v="6"/>
    <n v="9"/>
  </r>
  <r>
    <x v="5"/>
    <x v="1"/>
    <n v="27"/>
  </r>
  <r>
    <x v="5"/>
    <x v="0"/>
    <n v="24"/>
  </r>
  <r>
    <x v="5"/>
    <x v="3"/>
    <n v="1"/>
  </r>
  <r>
    <x v="5"/>
    <x v="2"/>
    <n v="48"/>
  </r>
  <r>
    <x v="6"/>
    <x v="3"/>
    <n v="1"/>
  </r>
  <r>
    <x v="7"/>
    <x v="2"/>
    <n v="6"/>
  </r>
  <r>
    <x v="7"/>
    <x v="0"/>
    <n v="5"/>
  </r>
  <r>
    <x v="7"/>
    <x v="1"/>
    <n v="2"/>
  </r>
  <r>
    <x v="7"/>
    <x v="3"/>
    <n v="15"/>
  </r>
  <r>
    <x v="7"/>
    <x v="7"/>
    <n v="7"/>
  </r>
  <r>
    <x v="8"/>
    <x v="8"/>
    <n v="20"/>
  </r>
  <r>
    <x v="8"/>
    <x v="2"/>
    <n v="1"/>
  </r>
  <r>
    <x v="8"/>
    <x v="4"/>
    <n v="1"/>
  </r>
  <r>
    <x v="8"/>
    <x v="0"/>
    <n v="3"/>
  </r>
  <r>
    <x v="8"/>
    <x v="1"/>
    <n v="1"/>
  </r>
  <r>
    <x v="8"/>
    <x v="9"/>
    <n v="8"/>
  </r>
  <r>
    <x v="8"/>
    <x v="10"/>
    <n v="4"/>
  </r>
  <r>
    <x v="8"/>
    <x v="11"/>
    <n v="46"/>
  </r>
  <r>
    <x v="8"/>
    <x v="12"/>
    <n v="1"/>
  </r>
  <r>
    <x v="9"/>
    <x v="11"/>
    <n v="1"/>
  </r>
  <r>
    <x v="9"/>
    <x v="3"/>
    <n v="1"/>
  </r>
  <r>
    <x v="9"/>
    <x v="1"/>
    <n v="1"/>
  </r>
  <r>
    <x v="9"/>
    <x v="2"/>
    <n v="2"/>
  </r>
  <r>
    <x v="10"/>
    <x v="0"/>
    <n v="1"/>
  </r>
  <r>
    <x v="10"/>
    <x v="6"/>
    <n v="1"/>
  </r>
  <r>
    <x v="10"/>
    <x v="3"/>
    <n v="11"/>
  </r>
  <r>
    <x v="10"/>
    <x v="1"/>
    <n v="3"/>
  </r>
  <r>
    <x v="11"/>
    <x v="0"/>
    <n v="93"/>
  </r>
  <r>
    <x v="11"/>
    <x v="5"/>
    <n v="248"/>
  </r>
  <r>
    <x v="11"/>
    <x v="13"/>
    <n v="379"/>
  </r>
  <r>
    <x v="11"/>
    <x v="1"/>
    <n v="53"/>
  </r>
  <r>
    <x v="11"/>
    <x v="3"/>
    <n v="32"/>
  </r>
  <r>
    <x v="11"/>
    <x v="4"/>
    <n v="98"/>
  </r>
  <r>
    <x v="11"/>
    <x v="7"/>
    <n v="276"/>
  </r>
  <r>
    <x v="11"/>
    <x v="6"/>
    <n v="5"/>
  </r>
  <r>
    <x v="11"/>
    <x v="2"/>
    <n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8196B1-B5D7-4258-9EF3-3F12FF1069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6" firstHeaderRow="1" firstDataRow="1" firstDataCol="1"/>
  <pivotFields count="3">
    <pivotField axis="axisRow" showAll="0" sortType="descending">
      <items count="13">
        <item x="11"/>
        <item x="10"/>
        <item x="9"/>
        <item x="8"/>
        <item x="7"/>
        <item x="6"/>
        <item x="5"/>
        <item x="4"/>
        <item x="3"/>
        <item x="2"/>
        <item x="1"/>
        <item x="0"/>
        <item t="default"/>
      </items>
    </pivotField>
    <pivotField showAll="0">
      <items count="15">
        <item x="6"/>
        <item x="5"/>
        <item x="4"/>
        <item x="7"/>
        <item x="0"/>
        <item x="10"/>
        <item x="12"/>
        <item x="11"/>
        <item x="8"/>
        <item x="9"/>
        <item x="2"/>
        <item x="1"/>
        <item x="13"/>
        <item x="3"/>
        <item t="default"/>
      </items>
    </pivotField>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Sum of Equipment Count" fld="2" baseField="0" baseItem="0"/>
  </dataFields>
  <chartFormats count="2">
    <chartFormat chart="7"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9C2587-72AD-4279-8015-0318A6BFEA0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16" firstHeaderRow="1" firstDataRow="1" firstDataCol="1"/>
  <pivotFields count="3">
    <pivotField axis="axisRow" showAll="0" sortType="descending">
      <items count="13">
        <item sd="0" x="11"/>
        <item sd="0" x="10"/>
        <item sd="0" x="9"/>
        <item sd="0" x="8"/>
        <item sd="0" x="7"/>
        <item sd="0" x="6"/>
        <item sd="0" x="5"/>
        <item sd="0" x="4"/>
        <item sd="0" x="3"/>
        <item sd="0" x="2"/>
        <item sd="0" x="1"/>
        <item sd="0" x="0"/>
        <item t="default"/>
      </items>
    </pivotField>
    <pivotField axis="axisRow" showAll="0">
      <items count="15">
        <item x="6"/>
        <item x="5"/>
        <item x="4"/>
        <item x="7"/>
        <item x="0"/>
        <item x="10"/>
        <item x="12"/>
        <item x="11"/>
        <item x="8"/>
        <item x="9"/>
        <item x="2"/>
        <item x="1"/>
        <item x="13"/>
        <item x="3"/>
        <item t="default"/>
      </items>
    </pivotField>
    <pivotField dataField="1" showAll="0"/>
  </pivotFields>
  <rowFields count="2">
    <field x="0"/>
    <field x="1"/>
  </rowFields>
  <rowItems count="13">
    <i>
      <x/>
    </i>
    <i>
      <x v="1"/>
    </i>
    <i>
      <x v="2"/>
    </i>
    <i>
      <x v="3"/>
    </i>
    <i>
      <x v="4"/>
    </i>
    <i>
      <x v="5"/>
    </i>
    <i>
      <x v="6"/>
    </i>
    <i>
      <x v="7"/>
    </i>
    <i>
      <x v="8"/>
    </i>
    <i>
      <x v="9"/>
    </i>
    <i>
      <x v="10"/>
    </i>
    <i>
      <x v="11"/>
    </i>
    <i t="grand">
      <x/>
    </i>
  </rowItems>
  <colItems count="1">
    <i/>
  </colItems>
  <dataFields count="1">
    <dataField name="Sum of Equipment Count" fld="2" baseField="0" baseItem="0"/>
  </dataFields>
  <chartFormats count="2">
    <chartFormat chart="13" format="0"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E8CFF3-B9D4-43A4-B910-131AE395E40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21" firstHeaderRow="1" firstDataRow="1" firstDataCol="1"/>
  <pivotFields count="3">
    <pivotField axis="axisRow" showAll="0" sortType="descending">
      <items count="13">
        <item x="11"/>
        <item x="10"/>
        <item x="9"/>
        <item x="8"/>
        <item x="7"/>
        <item x="6"/>
        <item x="5"/>
        <item x="4"/>
        <item x="3"/>
        <item x="2"/>
        <item x="1"/>
        <item x="0"/>
        <item t="default"/>
      </items>
    </pivotField>
    <pivotField axis="axisRow" showAll="0" sortType="descending">
      <items count="15">
        <item sd="0" x="3"/>
        <item sd="0" x="13"/>
        <item sd="0" x="1"/>
        <item sd="0" x="2"/>
        <item sd="0" x="9"/>
        <item sd="0" x="8"/>
        <item sd="0" x="11"/>
        <item sd="0" x="12"/>
        <item sd="0" x="10"/>
        <item sd="0" x="0"/>
        <item sd="0" x="7"/>
        <item sd="0" x="4"/>
        <item sd="0" x="5"/>
        <item x="6"/>
        <item t="default" sd="0"/>
      </items>
    </pivotField>
    <pivotField dataField="1" showAll="0"/>
  </pivotFields>
  <rowFields count="2">
    <field x="1"/>
    <field x="0"/>
  </rowFields>
  <rowItems count="18">
    <i>
      <x/>
    </i>
    <i>
      <x v="1"/>
    </i>
    <i>
      <x v="2"/>
    </i>
    <i>
      <x v="3"/>
    </i>
    <i>
      <x v="4"/>
    </i>
    <i>
      <x v="5"/>
    </i>
    <i>
      <x v="6"/>
    </i>
    <i>
      <x v="7"/>
    </i>
    <i>
      <x v="8"/>
    </i>
    <i>
      <x v="9"/>
    </i>
    <i>
      <x v="10"/>
    </i>
    <i>
      <x v="11"/>
    </i>
    <i>
      <x v="12"/>
    </i>
    <i>
      <x v="13"/>
    </i>
    <i r="1">
      <x/>
    </i>
    <i r="1">
      <x v="1"/>
    </i>
    <i r="1">
      <x v="6"/>
    </i>
    <i t="grand">
      <x/>
    </i>
  </rowItems>
  <colItems count="1">
    <i/>
  </colItems>
  <dataFields count="1">
    <dataField name="Sum of Equipment C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C59E43-8E4D-4009-81F9-91A2A63CC16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8" firstHeaderRow="1" firstDataRow="1" firstDataCol="1"/>
  <pivotFields count="3">
    <pivotField showAll="0">
      <items count="13">
        <item x="0"/>
        <item x="1"/>
        <item x="2"/>
        <item x="3"/>
        <item x="4"/>
        <item x="5"/>
        <item x="6"/>
        <item x="7"/>
        <item x="8"/>
        <item x="9"/>
        <item x="10"/>
        <item x="11"/>
        <item t="default"/>
      </items>
    </pivotField>
    <pivotField axis="axisRow" showAll="0">
      <items count="15">
        <item x="6"/>
        <item x="5"/>
        <item x="4"/>
        <item x="7"/>
        <item x="0"/>
        <item x="10"/>
        <item x="12"/>
        <item x="11"/>
        <item x="8"/>
        <item x="9"/>
        <item x="2"/>
        <item x="1"/>
        <item x="13"/>
        <item x="3"/>
        <item t="default"/>
      </items>
    </pivotField>
    <pivotField dataField="1" showAll="0"/>
  </pivotFields>
  <rowFields count="1">
    <field x="1"/>
  </rowFields>
  <rowItems count="15">
    <i>
      <x/>
    </i>
    <i>
      <x v="1"/>
    </i>
    <i>
      <x v="2"/>
    </i>
    <i>
      <x v="3"/>
    </i>
    <i>
      <x v="4"/>
    </i>
    <i>
      <x v="5"/>
    </i>
    <i>
      <x v="6"/>
    </i>
    <i>
      <x v="7"/>
    </i>
    <i>
      <x v="8"/>
    </i>
    <i>
      <x v="9"/>
    </i>
    <i>
      <x v="10"/>
    </i>
    <i>
      <x v="11"/>
    </i>
    <i>
      <x v="12"/>
    </i>
    <i>
      <x v="13"/>
    </i>
    <i t="grand">
      <x/>
    </i>
  </rowItems>
  <colItems count="1">
    <i/>
  </colItems>
  <dataFields count="1">
    <dataField name="Sum of Equipment Count" fld="2" baseField="0" baseItem="0"/>
  </dataFields>
  <chartFormats count="1">
    <chartFormat chart="1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2FD1F96-95E8-41E8-B05C-B4E7E0ED2F81}" sourceName="Department">
  <pivotTables>
    <pivotTable tabId="2" name="PivotTable1"/>
    <pivotTable tabId="3" name="PivotTable2"/>
    <pivotTable tabId="4" name="PivotTable3"/>
    <pivotTable tabId="8" name="PivotTable3"/>
  </pivotTables>
  <data>
    <tabular pivotCacheId="1325758519">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quipment_Class" xr10:uid="{48D1C45C-6FA9-4DAF-A043-84BF0CEB88D9}" sourceName="Equipment Class">
  <pivotTables>
    <pivotTable tabId="2" name="PivotTable1"/>
    <pivotTable tabId="3" name="PivotTable2"/>
    <pivotTable tabId="4" name="PivotTable3"/>
    <pivotTable tabId="8" name="PivotTable3"/>
  </pivotTables>
  <data>
    <tabular pivotCacheId="1325758519">
      <items count="14">
        <i x="6" s="1"/>
        <i x="5" s="1"/>
        <i x="4" s="1"/>
        <i x="7" s="1"/>
        <i x="0" s="1"/>
        <i x="10" s="1"/>
        <i x="12" s="1"/>
        <i x="11" s="1"/>
        <i x="8" s="1"/>
        <i x="9" s="1"/>
        <i x="2" s="1"/>
        <i x="1" s="1"/>
        <i x="13"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8F0FE4A-F95E-4EBB-8D7A-978DFD26DBB5}" cache="Slicer_Department" caption="Department" columnCount="6" style="SlicerStyleDark5" rowHeight="241300"/>
  <slicer name="Equipment Class" xr10:uid="{6D4F73E6-BFB2-4B4E-91FC-6103AF34C7D7}" cache="Slicer_Equipment_Class" caption="Vehicle type"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4D093A-8F56-4D68-A33D-B7733F95D6C5}" name="Table1" displayName="Table1" ref="A1:C50" totalsRowShown="0">
  <autoFilter ref="A1:C50" xr:uid="{614D093A-8F56-4D68-A33D-B7733F95D6C5}"/>
  <tableColumns count="3">
    <tableColumn id="1" xr3:uid="{F964DE83-FB16-4E1C-A21E-579CB61D0E0E}" name="Department"/>
    <tableColumn id="2" xr3:uid="{076E0563-CB3D-4B44-AD64-34ACA9F6C1ED}" name="Equipment Class"/>
    <tableColumn id="3" xr3:uid="{A5235B42-F4EE-4436-B4E3-F8ED581F22C3}" name="Equipment Coun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6"/>
  <sheetViews>
    <sheetView tabSelected="1" topLeftCell="A41" workbookViewId="0">
      <selection activeCell="B52" sqref="B52"/>
    </sheetView>
  </sheetViews>
  <sheetFormatPr defaultRowHeight="14.5" x14ac:dyDescent="0.35"/>
  <cols>
    <col min="1" max="1" width="29.453125" bestFit="1" customWidth="1"/>
    <col min="2" max="2" width="39.08984375" customWidth="1"/>
    <col min="3" max="3" width="17.36328125" customWidth="1"/>
    <col min="6" max="6" width="34.26953125" bestFit="1" customWidth="1"/>
  </cols>
  <sheetData>
    <row r="1" spans="1:3" x14ac:dyDescent="0.35">
      <c r="A1" t="s">
        <v>0</v>
      </c>
      <c r="B1" t="s">
        <v>1</v>
      </c>
      <c r="C1" t="s">
        <v>2</v>
      </c>
    </row>
    <row r="2" spans="1:3" x14ac:dyDescent="0.35">
      <c r="A2" t="s">
        <v>5</v>
      </c>
      <c r="B2" t="s">
        <v>6</v>
      </c>
      <c r="C2">
        <v>21</v>
      </c>
    </row>
    <row r="3" spans="1:3" x14ac:dyDescent="0.35">
      <c r="A3" t="s">
        <v>5</v>
      </c>
      <c r="B3" t="s">
        <v>7</v>
      </c>
      <c r="C3">
        <v>1</v>
      </c>
    </row>
    <row r="4" spans="1:3" x14ac:dyDescent="0.35">
      <c r="A4" t="s">
        <v>5</v>
      </c>
      <c r="B4" t="s">
        <v>4</v>
      </c>
      <c r="C4">
        <v>23</v>
      </c>
    </row>
    <row r="5" spans="1:3" x14ac:dyDescent="0.35">
      <c r="A5" t="s">
        <v>8</v>
      </c>
      <c r="B5" t="s">
        <v>4</v>
      </c>
      <c r="C5">
        <v>2</v>
      </c>
    </row>
    <row r="6" spans="1:3" x14ac:dyDescent="0.35">
      <c r="A6" t="s">
        <v>9</v>
      </c>
      <c r="B6" t="s">
        <v>6</v>
      </c>
      <c r="C6">
        <v>3</v>
      </c>
    </row>
    <row r="7" spans="1:3" x14ac:dyDescent="0.35">
      <c r="A7" t="s">
        <v>9</v>
      </c>
      <c r="B7" t="s">
        <v>10</v>
      </c>
      <c r="C7">
        <v>2</v>
      </c>
    </row>
    <row r="8" spans="1:3" x14ac:dyDescent="0.35">
      <c r="A8" t="s">
        <v>9</v>
      </c>
      <c r="B8" t="s">
        <v>11</v>
      </c>
      <c r="C8">
        <v>1</v>
      </c>
    </row>
    <row r="9" spans="1:3" x14ac:dyDescent="0.35">
      <c r="A9" t="s">
        <v>12</v>
      </c>
      <c r="B9" t="s">
        <v>10</v>
      </c>
      <c r="C9">
        <v>2</v>
      </c>
    </row>
    <row r="10" spans="1:3" x14ac:dyDescent="0.35">
      <c r="A10" t="s">
        <v>12</v>
      </c>
      <c r="B10" t="s">
        <v>13</v>
      </c>
      <c r="C10">
        <v>42</v>
      </c>
    </row>
    <row r="11" spans="1:3" x14ac:dyDescent="0.35">
      <c r="A11" t="s">
        <v>12</v>
      </c>
      <c r="B11" t="s">
        <v>7</v>
      </c>
      <c r="C11">
        <v>1</v>
      </c>
    </row>
    <row r="12" spans="1:3" x14ac:dyDescent="0.35">
      <c r="A12" t="s">
        <v>12</v>
      </c>
      <c r="B12" t="s">
        <v>4</v>
      </c>
      <c r="C12">
        <v>11</v>
      </c>
    </row>
    <row r="13" spans="1:3" x14ac:dyDescent="0.35">
      <c r="A13" t="s">
        <v>14</v>
      </c>
      <c r="B13" t="s">
        <v>7</v>
      </c>
      <c r="C13">
        <v>1</v>
      </c>
    </row>
    <row r="14" spans="1:3" x14ac:dyDescent="0.35">
      <c r="A14" t="s">
        <v>15</v>
      </c>
      <c r="B14" t="s">
        <v>16</v>
      </c>
      <c r="C14">
        <v>9</v>
      </c>
    </row>
    <row r="15" spans="1:3" x14ac:dyDescent="0.35">
      <c r="A15" t="s">
        <v>15</v>
      </c>
      <c r="B15" t="s">
        <v>7</v>
      </c>
      <c r="C15">
        <v>27</v>
      </c>
    </row>
    <row r="16" spans="1:3" x14ac:dyDescent="0.35">
      <c r="A16" t="s">
        <v>15</v>
      </c>
      <c r="B16" t="s">
        <v>6</v>
      </c>
      <c r="C16">
        <v>24</v>
      </c>
    </row>
    <row r="17" spans="1:3" x14ac:dyDescent="0.35">
      <c r="A17" t="s">
        <v>15</v>
      </c>
      <c r="B17" t="s">
        <v>10</v>
      </c>
      <c r="C17">
        <v>1</v>
      </c>
    </row>
    <row r="18" spans="1:3" x14ac:dyDescent="0.35">
      <c r="A18" t="s">
        <v>15</v>
      </c>
      <c r="B18" t="s">
        <v>4</v>
      </c>
      <c r="C18">
        <v>48</v>
      </c>
    </row>
    <row r="19" spans="1:3" x14ac:dyDescent="0.35">
      <c r="A19" t="s">
        <v>17</v>
      </c>
      <c r="B19" t="s">
        <v>10</v>
      </c>
      <c r="C19">
        <v>1</v>
      </c>
    </row>
    <row r="20" spans="1:3" x14ac:dyDescent="0.35">
      <c r="A20" t="s">
        <v>18</v>
      </c>
      <c r="B20" t="s">
        <v>4</v>
      </c>
      <c r="C20">
        <v>6</v>
      </c>
    </row>
    <row r="21" spans="1:3" x14ac:dyDescent="0.35">
      <c r="A21" t="s">
        <v>18</v>
      </c>
      <c r="B21" t="s">
        <v>6</v>
      </c>
      <c r="C21">
        <v>5</v>
      </c>
    </row>
    <row r="22" spans="1:3" x14ac:dyDescent="0.35">
      <c r="A22" t="s">
        <v>18</v>
      </c>
      <c r="B22" t="s">
        <v>7</v>
      </c>
      <c r="C22">
        <v>2</v>
      </c>
    </row>
    <row r="23" spans="1:3" x14ac:dyDescent="0.35">
      <c r="A23" t="s">
        <v>18</v>
      </c>
      <c r="B23" t="s">
        <v>10</v>
      </c>
      <c r="C23">
        <v>15</v>
      </c>
    </row>
    <row r="24" spans="1:3" x14ac:dyDescent="0.35">
      <c r="A24" t="s">
        <v>18</v>
      </c>
      <c r="B24" t="s">
        <v>28</v>
      </c>
      <c r="C24">
        <v>7</v>
      </c>
    </row>
    <row r="25" spans="1:3" x14ac:dyDescent="0.35">
      <c r="A25" t="s">
        <v>19</v>
      </c>
      <c r="B25" t="s">
        <v>3</v>
      </c>
      <c r="C25">
        <v>20</v>
      </c>
    </row>
    <row r="26" spans="1:3" x14ac:dyDescent="0.35">
      <c r="A26" t="s">
        <v>19</v>
      </c>
      <c r="B26" t="s">
        <v>4</v>
      </c>
      <c r="C26">
        <v>1</v>
      </c>
    </row>
    <row r="27" spans="1:3" x14ac:dyDescent="0.35">
      <c r="A27" t="s">
        <v>19</v>
      </c>
      <c r="B27" t="s">
        <v>11</v>
      </c>
      <c r="C27">
        <v>1</v>
      </c>
    </row>
    <row r="28" spans="1:3" x14ac:dyDescent="0.35">
      <c r="A28" t="s">
        <v>19</v>
      </c>
      <c r="B28" t="s">
        <v>6</v>
      </c>
      <c r="C28">
        <v>3</v>
      </c>
    </row>
    <row r="29" spans="1:3" x14ac:dyDescent="0.35">
      <c r="A29" t="s">
        <v>19</v>
      </c>
      <c r="B29" t="s">
        <v>7</v>
      </c>
      <c r="C29">
        <v>1</v>
      </c>
    </row>
    <row r="30" spans="1:3" x14ac:dyDescent="0.35">
      <c r="A30" t="s">
        <v>19</v>
      </c>
      <c r="B30" t="s">
        <v>20</v>
      </c>
      <c r="C30">
        <v>8</v>
      </c>
    </row>
    <row r="31" spans="1:3" x14ac:dyDescent="0.35">
      <c r="A31" t="s">
        <v>19</v>
      </c>
      <c r="B31" t="s">
        <v>21</v>
      </c>
      <c r="C31">
        <v>4</v>
      </c>
    </row>
    <row r="32" spans="1:3" x14ac:dyDescent="0.35">
      <c r="A32" t="s">
        <v>19</v>
      </c>
      <c r="B32" t="s">
        <v>22</v>
      </c>
      <c r="C32">
        <v>46</v>
      </c>
    </row>
    <row r="33" spans="1:3" x14ac:dyDescent="0.35">
      <c r="A33" t="s">
        <v>19</v>
      </c>
      <c r="B33" t="s">
        <v>23</v>
      </c>
      <c r="C33">
        <v>1</v>
      </c>
    </row>
    <row r="34" spans="1:3" x14ac:dyDescent="0.35">
      <c r="A34" t="s">
        <v>24</v>
      </c>
      <c r="B34" t="s">
        <v>22</v>
      </c>
      <c r="C34">
        <v>1</v>
      </c>
    </row>
    <row r="35" spans="1:3" x14ac:dyDescent="0.35">
      <c r="A35" t="s">
        <v>24</v>
      </c>
      <c r="B35" t="s">
        <v>10</v>
      </c>
      <c r="C35">
        <v>1</v>
      </c>
    </row>
    <row r="36" spans="1:3" x14ac:dyDescent="0.35">
      <c r="A36" t="s">
        <v>24</v>
      </c>
      <c r="B36" t="s">
        <v>7</v>
      </c>
      <c r="C36">
        <v>1</v>
      </c>
    </row>
    <row r="37" spans="1:3" x14ac:dyDescent="0.35">
      <c r="A37" t="s">
        <v>24</v>
      </c>
      <c r="B37" t="s">
        <v>4</v>
      </c>
      <c r="C37">
        <v>2</v>
      </c>
    </row>
    <row r="38" spans="1:3" x14ac:dyDescent="0.35">
      <c r="A38" t="s">
        <v>25</v>
      </c>
      <c r="B38" t="s">
        <v>6</v>
      </c>
      <c r="C38">
        <v>1</v>
      </c>
    </row>
    <row r="39" spans="1:3" x14ac:dyDescent="0.35">
      <c r="A39" t="s">
        <v>25</v>
      </c>
      <c r="B39" t="s">
        <v>16</v>
      </c>
      <c r="C39">
        <v>1</v>
      </c>
    </row>
    <row r="40" spans="1:3" x14ac:dyDescent="0.35">
      <c r="A40" t="s">
        <v>25</v>
      </c>
      <c r="B40" t="s">
        <v>10</v>
      </c>
      <c r="C40">
        <v>11</v>
      </c>
    </row>
    <row r="41" spans="1:3" x14ac:dyDescent="0.35">
      <c r="A41" t="s">
        <v>25</v>
      </c>
      <c r="B41" t="s">
        <v>7</v>
      </c>
      <c r="C41">
        <v>3</v>
      </c>
    </row>
    <row r="42" spans="1:3" x14ac:dyDescent="0.35">
      <c r="A42" t="s">
        <v>26</v>
      </c>
      <c r="B42" t="s">
        <v>6</v>
      </c>
      <c r="C42">
        <v>93</v>
      </c>
    </row>
    <row r="43" spans="1:3" x14ac:dyDescent="0.35">
      <c r="A43" t="s">
        <v>26</v>
      </c>
      <c r="B43" t="s">
        <v>13</v>
      </c>
      <c r="C43">
        <v>248</v>
      </c>
    </row>
    <row r="44" spans="1:3" x14ac:dyDescent="0.35">
      <c r="A44" t="s">
        <v>26</v>
      </c>
      <c r="B44" t="s">
        <v>27</v>
      </c>
      <c r="C44">
        <v>379</v>
      </c>
    </row>
    <row r="45" spans="1:3" x14ac:dyDescent="0.35">
      <c r="A45" t="s">
        <v>26</v>
      </c>
      <c r="B45" t="s">
        <v>7</v>
      </c>
      <c r="C45">
        <v>53</v>
      </c>
    </row>
    <row r="46" spans="1:3" x14ac:dyDescent="0.35">
      <c r="A46" t="s">
        <v>26</v>
      </c>
      <c r="B46" t="s">
        <v>10</v>
      </c>
      <c r="C46">
        <v>32</v>
      </c>
    </row>
    <row r="47" spans="1:3" x14ac:dyDescent="0.35">
      <c r="A47" t="s">
        <v>26</v>
      </c>
      <c r="B47" t="s">
        <v>11</v>
      </c>
      <c r="C47">
        <v>98</v>
      </c>
    </row>
    <row r="48" spans="1:3" x14ac:dyDescent="0.35">
      <c r="A48" t="s">
        <v>26</v>
      </c>
      <c r="B48" t="s">
        <v>28</v>
      </c>
      <c r="C48">
        <v>276</v>
      </c>
    </row>
    <row r="49" spans="1:3" x14ac:dyDescent="0.35">
      <c r="A49" t="s">
        <v>26</v>
      </c>
      <c r="B49" t="s">
        <v>16</v>
      </c>
      <c r="C49">
        <v>5</v>
      </c>
    </row>
    <row r="50" spans="1:3" x14ac:dyDescent="0.35">
      <c r="A50" t="s">
        <v>26</v>
      </c>
      <c r="B50" t="s">
        <v>4</v>
      </c>
      <c r="C50">
        <v>37</v>
      </c>
    </row>
    <row r="52" spans="1:3" x14ac:dyDescent="0.35">
      <c r="B52" t="s">
        <v>34</v>
      </c>
      <c r="C52">
        <f>SUM(Table1[Equipment Count])</f>
        <v>1582</v>
      </c>
    </row>
    <row r="53" spans="1:3" x14ac:dyDescent="0.35">
      <c r="B53" t="s">
        <v>29</v>
      </c>
      <c r="C53">
        <f>AVERAGE(Table1[Equipment Count])</f>
        <v>32.285714285714285</v>
      </c>
    </row>
    <row r="54" spans="1:3" x14ac:dyDescent="0.35">
      <c r="B54" t="s">
        <v>35</v>
      </c>
      <c r="C54">
        <f>MIN(C2:C50)</f>
        <v>1</v>
      </c>
    </row>
    <row r="55" spans="1:3" x14ac:dyDescent="0.35">
      <c r="B55" t="s">
        <v>36</v>
      </c>
      <c r="C55">
        <f>MAX(C2:C50)</f>
        <v>379</v>
      </c>
    </row>
    <row r="56" spans="1:3" x14ac:dyDescent="0.35">
      <c r="B56" t="s">
        <v>33</v>
      </c>
      <c r="C56">
        <f>COUNT(C2:C50)</f>
        <v>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2A599-F1A3-46B4-B553-733A3AFA1D9A}">
  <dimension ref="A3:B16"/>
  <sheetViews>
    <sheetView workbookViewId="0">
      <selection activeCell="A4" sqref="A4"/>
    </sheetView>
  </sheetViews>
  <sheetFormatPr defaultRowHeight="14.5" x14ac:dyDescent="0.35"/>
  <cols>
    <col min="1" max="1" width="27.54296875" bestFit="1" customWidth="1"/>
    <col min="2" max="2" width="22.08984375" bestFit="1" customWidth="1"/>
  </cols>
  <sheetData>
    <row r="3" spans="1:2" x14ac:dyDescent="0.35">
      <c r="A3" s="1" t="s">
        <v>30</v>
      </c>
      <c r="B3" t="s">
        <v>32</v>
      </c>
    </row>
    <row r="4" spans="1:2" x14ac:dyDescent="0.35">
      <c r="A4" s="2" t="s">
        <v>26</v>
      </c>
      <c r="B4">
        <v>1221</v>
      </c>
    </row>
    <row r="5" spans="1:2" x14ac:dyDescent="0.35">
      <c r="A5" s="2" t="s">
        <v>25</v>
      </c>
      <c r="B5">
        <v>16</v>
      </c>
    </row>
    <row r="6" spans="1:2" x14ac:dyDescent="0.35">
      <c r="A6" s="2" t="s">
        <v>24</v>
      </c>
      <c r="B6">
        <v>5</v>
      </c>
    </row>
    <row r="7" spans="1:2" x14ac:dyDescent="0.35">
      <c r="A7" s="2" t="s">
        <v>19</v>
      </c>
      <c r="B7">
        <v>85</v>
      </c>
    </row>
    <row r="8" spans="1:2" x14ac:dyDescent="0.35">
      <c r="A8" s="2" t="s">
        <v>18</v>
      </c>
      <c r="B8">
        <v>35</v>
      </c>
    </row>
    <row r="9" spans="1:2" x14ac:dyDescent="0.35">
      <c r="A9" s="2" t="s">
        <v>17</v>
      </c>
      <c r="B9">
        <v>1</v>
      </c>
    </row>
    <row r="10" spans="1:2" x14ac:dyDescent="0.35">
      <c r="A10" s="2" t="s">
        <v>15</v>
      </c>
      <c r="B10">
        <v>109</v>
      </c>
    </row>
    <row r="11" spans="1:2" x14ac:dyDescent="0.35">
      <c r="A11" s="2" t="s">
        <v>14</v>
      </c>
      <c r="B11">
        <v>1</v>
      </c>
    </row>
    <row r="12" spans="1:2" x14ac:dyDescent="0.35">
      <c r="A12" s="2" t="s">
        <v>12</v>
      </c>
      <c r="B12">
        <v>56</v>
      </c>
    </row>
    <row r="13" spans="1:2" x14ac:dyDescent="0.35">
      <c r="A13" s="2" t="s">
        <v>9</v>
      </c>
      <c r="B13">
        <v>6</v>
      </c>
    </row>
    <row r="14" spans="1:2" x14ac:dyDescent="0.35">
      <c r="A14" s="2" t="s">
        <v>8</v>
      </c>
      <c r="B14">
        <v>2</v>
      </c>
    </row>
    <row r="15" spans="1:2" x14ac:dyDescent="0.35">
      <c r="A15" s="2" t="s">
        <v>5</v>
      </c>
      <c r="B15">
        <v>45</v>
      </c>
    </row>
    <row r="16" spans="1:2" x14ac:dyDescent="0.35">
      <c r="A16" s="2" t="s">
        <v>31</v>
      </c>
      <c r="B16">
        <v>1582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F17E3-E4DC-46DC-924A-D739712E15BB}">
  <dimension ref="A3:B16"/>
  <sheetViews>
    <sheetView zoomScale="66" workbookViewId="0">
      <selection activeCell="A4" sqref="A4"/>
    </sheetView>
  </sheetViews>
  <sheetFormatPr defaultRowHeight="14.5" x14ac:dyDescent="0.35"/>
  <cols>
    <col min="1" max="1" width="29.6328125" bestFit="1" customWidth="1"/>
    <col min="2" max="2" width="22.54296875" bestFit="1" customWidth="1"/>
  </cols>
  <sheetData>
    <row r="3" spans="1:2" x14ac:dyDescent="0.35">
      <c r="A3" s="1" t="s">
        <v>30</v>
      </c>
      <c r="B3" t="s">
        <v>32</v>
      </c>
    </row>
    <row r="4" spans="1:2" x14ac:dyDescent="0.35">
      <c r="A4" s="2" t="s">
        <v>26</v>
      </c>
      <c r="B4">
        <v>1221</v>
      </c>
    </row>
    <row r="5" spans="1:2" x14ac:dyDescent="0.35">
      <c r="A5" s="2" t="s">
        <v>25</v>
      </c>
      <c r="B5">
        <v>16</v>
      </c>
    </row>
    <row r="6" spans="1:2" x14ac:dyDescent="0.35">
      <c r="A6" s="2" t="s">
        <v>24</v>
      </c>
      <c r="B6">
        <v>5</v>
      </c>
    </row>
    <row r="7" spans="1:2" x14ac:dyDescent="0.35">
      <c r="A7" s="2" t="s">
        <v>19</v>
      </c>
      <c r="B7">
        <v>85</v>
      </c>
    </row>
    <row r="8" spans="1:2" x14ac:dyDescent="0.35">
      <c r="A8" s="2" t="s">
        <v>18</v>
      </c>
      <c r="B8">
        <v>35</v>
      </c>
    </row>
    <row r="9" spans="1:2" x14ac:dyDescent="0.35">
      <c r="A9" s="2" t="s">
        <v>17</v>
      </c>
      <c r="B9">
        <v>1</v>
      </c>
    </row>
    <row r="10" spans="1:2" x14ac:dyDescent="0.35">
      <c r="A10" s="2" t="s">
        <v>15</v>
      </c>
      <c r="B10">
        <v>109</v>
      </c>
    </row>
    <row r="11" spans="1:2" x14ac:dyDescent="0.35">
      <c r="A11" s="2" t="s">
        <v>14</v>
      </c>
      <c r="B11">
        <v>1</v>
      </c>
    </row>
    <row r="12" spans="1:2" x14ac:dyDescent="0.35">
      <c r="A12" s="2" t="s">
        <v>12</v>
      </c>
      <c r="B12">
        <v>56</v>
      </c>
    </row>
    <row r="13" spans="1:2" x14ac:dyDescent="0.35">
      <c r="A13" s="2" t="s">
        <v>9</v>
      </c>
      <c r="B13">
        <v>6</v>
      </c>
    </row>
    <row r="14" spans="1:2" x14ac:dyDescent="0.35">
      <c r="A14" s="2" t="s">
        <v>8</v>
      </c>
      <c r="B14">
        <v>2</v>
      </c>
    </row>
    <row r="15" spans="1:2" x14ac:dyDescent="0.35">
      <c r="A15" s="2" t="s">
        <v>5</v>
      </c>
      <c r="B15">
        <v>45</v>
      </c>
    </row>
    <row r="16" spans="1:2" x14ac:dyDescent="0.35">
      <c r="A16" s="2" t="s">
        <v>31</v>
      </c>
      <c r="B16">
        <v>1582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D88C6-0241-4108-928E-61AB2761F956}">
  <dimension ref="A3:B21"/>
  <sheetViews>
    <sheetView workbookViewId="0">
      <selection activeCell="A4" sqref="A4"/>
    </sheetView>
  </sheetViews>
  <sheetFormatPr defaultRowHeight="14.5" x14ac:dyDescent="0.35"/>
  <cols>
    <col min="1" max="1" width="26.36328125" bestFit="1" customWidth="1"/>
    <col min="2" max="2" width="22.08984375" bestFit="1" customWidth="1"/>
  </cols>
  <sheetData>
    <row r="3" spans="1:2" x14ac:dyDescent="0.35">
      <c r="A3" s="1" t="s">
        <v>30</v>
      </c>
      <c r="B3" t="s">
        <v>32</v>
      </c>
    </row>
    <row r="4" spans="1:2" x14ac:dyDescent="0.35">
      <c r="A4" s="2" t="s">
        <v>10</v>
      </c>
      <c r="B4">
        <v>65</v>
      </c>
    </row>
    <row r="5" spans="1:2" x14ac:dyDescent="0.35">
      <c r="A5" s="2" t="s">
        <v>27</v>
      </c>
      <c r="B5">
        <v>379</v>
      </c>
    </row>
    <row r="6" spans="1:2" x14ac:dyDescent="0.35">
      <c r="A6" s="2" t="s">
        <v>7</v>
      </c>
      <c r="B6">
        <v>90</v>
      </c>
    </row>
    <row r="7" spans="1:2" x14ac:dyDescent="0.35">
      <c r="A7" s="2" t="s">
        <v>4</v>
      </c>
      <c r="B7">
        <v>130</v>
      </c>
    </row>
    <row r="8" spans="1:2" x14ac:dyDescent="0.35">
      <c r="A8" s="2" t="s">
        <v>20</v>
      </c>
      <c r="B8">
        <v>8</v>
      </c>
    </row>
    <row r="9" spans="1:2" x14ac:dyDescent="0.35">
      <c r="A9" s="2" t="s">
        <v>3</v>
      </c>
      <c r="B9">
        <v>20</v>
      </c>
    </row>
    <row r="10" spans="1:2" x14ac:dyDescent="0.35">
      <c r="A10" s="2" t="s">
        <v>22</v>
      </c>
      <c r="B10">
        <v>47</v>
      </c>
    </row>
    <row r="11" spans="1:2" x14ac:dyDescent="0.35">
      <c r="A11" s="2" t="s">
        <v>23</v>
      </c>
      <c r="B11">
        <v>1</v>
      </c>
    </row>
    <row r="12" spans="1:2" x14ac:dyDescent="0.35">
      <c r="A12" s="2" t="s">
        <v>21</v>
      </c>
      <c r="B12">
        <v>4</v>
      </c>
    </row>
    <row r="13" spans="1:2" x14ac:dyDescent="0.35">
      <c r="A13" s="2" t="s">
        <v>6</v>
      </c>
      <c r="B13">
        <v>150</v>
      </c>
    </row>
    <row r="14" spans="1:2" x14ac:dyDescent="0.35">
      <c r="A14" s="2" t="s">
        <v>28</v>
      </c>
      <c r="B14">
        <v>283</v>
      </c>
    </row>
    <row r="15" spans="1:2" x14ac:dyDescent="0.35">
      <c r="A15" s="2" t="s">
        <v>11</v>
      </c>
      <c r="B15">
        <v>100</v>
      </c>
    </row>
    <row r="16" spans="1:2" x14ac:dyDescent="0.35">
      <c r="A16" s="2" t="s">
        <v>13</v>
      </c>
      <c r="B16">
        <v>290</v>
      </c>
    </row>
    <row r="17" spans="1:2" x14ac:dyDescent="0.35">
      <c r="A17" s="2" t="s">
        <v>16</v>
      </c>
      <c r="B17">
        <v>15</v>
      </c>
    </row>
    <row r="18" spans="1:2" x14ac:dyDescent="0.35">
      <c r="A18" s="3" t="s">
        <v>26</v>
      </c>
      <c r="B18">
        <v>5</v>
      </c>
    </row>
    <row r="19" spans="1:2" x14ac:dyDescent="0.35">
      <c r="A19" s="3" t="s">
        <v>25</v>
      </c>
      <c r="B19">
        <v>1</v>
      </c>
    </row>
    <row r="20" spans="1:2" x14ac:dyDescent="0.35">
      <c r="A20" s="3" t="s">
        <v>15</v>
      </c>
      <c r="B20">
        <v>9</v>
      </c>
    </row>
    <row r="21" spans="1:2" x14ac:dyDescent="0.35">
      <c r="A21" s="2" t="s">
        <v>31</v>
      </c>
      <c r="B21">
        <v>1582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143C9-299E-40A7-BD5E-AA28C5400C04}">
  <dimension ref="A3:B18"/>
  <sheetViews>
    <sheetView workbookViewId="0">
      <selection activeCell="A3" sqref="A3:B18"/>
    </sheetView>
  </sheetViews>
  <sheetFormatPr defaultRowHeight="14.5" x14ac:dyDescent="0.35"/>
  <cols>
    <col min="1" max="1" width="24.36328125" bestFit="1" customWidth="1"/>
    <col min="2" max="2" width="22.08984375" bestFit="1" customWidth="1"/>
  </cols>
  <sheetData>
    <row r="3" spans="1:2" x14ac:dyDescent="0.35">
      <c r="A3" s="1" t="s">
        <v>30</v>
      </c>
      <c r="B3" t="s">
        <v>32</v>
      </c>
    </row>
    <row r="4" spans="1:2" x14ac:dyDescent="0.35">
      <c r="A4" s="2" t="s">
        <v>16</v>
      </c>
      <c r="B4">
        <v>15</v>
      </c>
    </row>
    <row r="5" spans="1:2" x14ac:dyDescent="0.35">
      <c r="A5" s="2" t="s">
        <v>13</v>
      </c>
      <c r="B5">
        <v>290</v>
      </c>
    </row>
    <row r="6" spans="1:2" x14ac:dyDescent="0.35">
      <c r="A6" s="2" t="s">
        <v>11</v>
      </c>
      <c r="B6">
        <v>100</v>
      </c>
    </row>
    <row r="7" spans="1:2" x14ac:dyDescent="0.35">
      <c r="A7" s="2" t="s">
        <v>28</v>
      </c>
      <c r="B7">
        <v>283</v>
      </c>
    </row>
    <row r="8" spans="1:2" x14ac:dyDescent="0.35">
      <c r="A8" s="2" t="s">
        <v>6</v>
      </c>
      <c r="B8">
        <v>150</v>
      </c>
    </row>
    <row r="9" spans="1:2" x14ac:dyDescent="0.35">
      <c r="A9" s="2" t="s">
        <v>21</v>
      </c>
      <c r="B9">
        <v>4</v>
      </c>
    </row>
    <row r="10" spans="1:2" x14ac:dyDescent="0.35">
      <c r="A10" s="2" t="s">
        <v>23</v>
      </c>
      <c r="B10">
        <v>1</v>
      </c>
    </row>
    <row r="11" spans="1:2" x14ac:dyDescent="0.35">
      <c r="A11" s="2" t="s">
        <v>22</v>
      </c>
      <c r="B11">
        <v>47</v>
      </c>
    </row>
    <row r="12" spans="1:2" x14ac:dyDescent="0.35">
      <c r="A12" s="2" t="s">
        <v>3</v>
      </c>
      <c r="B12">
        <v>20</v>
      </c>
    </row>
    <row r="13" spans="1:2" x14ac:dyDescent="0.35">
      <c r="A13" s="2" t="s">
        <v>20</v>
      </c>
      <c r="B13">
        <v>8</v>
      </c>
    </row>
    <row r="14" spans="1:2" x14ac:dyDescent="0.35">
      <c r="A14" s="2" t="s">
        <v>4</v>
      </c>
      <c r="B14">
        <v>130</v>
      </c>
    </row>
    <row r="15" spans="1:2" x14ac:dyDescent="0.35">
      <c r="A15" s="2" t="s">
        <v>7</v>
      </c>
      <c r="B15">
        <v>90</v>
      </c>
    </row>
    <row r="16" spans="1:2" x14ac:dyDescent="0.35">
      <c r="A16" s="2" t="s">
        <v>27</v>
      </c>
      <c r="B16">
        <v>379</v>
      </c>
    </row>
    <row r="17" spans="1:2" x14ac:dyDescent="0.35">
      <c r="A17" s="2" t="s">
        <v>10</v>
      </c>
      <c r="B17">
        <v>65</v>
      </c>
    </row>
    <row r="18" spans="1:2" x14ac:dyDescent="0.35">
      <c r="A18" s="2" t="s">
        <v>31</v>
      </c>
      <c r="B18">
        <v>1582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5A054-6C6F-4018-B41C-626A969EAA8F}">
  <dimension ref="A1"/>
  <sheetViews>
    <sheetView zoomScale="63" workbookViewId="0">
      <selection activeCell="L28" sqref="L2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Montgomery_Fleet_Equipment_Inve</vt:lpstr>
      <vt:lpstr>Vehicle used per department</vt:lpstr>
      <vt:lpstr>Type of vehicle per department1</vt:lpstr>
      <vt:lpstr>Type of vehicle per department2</vt:lpstr>
      <vt:lpstr>Types of Vehicle 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kshitij kumar</dc:creator>
  <cp:lastModifiedBy>kshitij kumar</cp:lastModifiedBy>
  <dcterms:created xsi:type="dcterms:W3CDTF">2020-09-01T17:18:12Z</dcterms:created>
  <dcterms:modified xsi:type="dcterms:W3CDTF">2025-01-02T09:16:06Z</dcterms:modified>
</cp:coreProperties>
</file>